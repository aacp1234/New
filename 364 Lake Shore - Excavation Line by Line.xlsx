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by Line" sheetId="1" state="visible" r:id="rId1"/>
    <sheet xmlns:r="http://schemas.openxmlformats.org/officeDocument/2006/relationships"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7F7F7F"/>
    </font>
    <font>
      <b val="1"/>
      <color rgb="00FFFFFF"/>
    </font>
    <font>
      <b val="1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5" borderId="1" pivotButton="0" quotePrefix="0" xfId="0"/>
    <xf numFmtId="164" fontId="4" fillId="5" borderId="1" pivotButton="0" quotePrefix="0" xfId="0"/>
    <xf numFmtId="0" fontId="0" fillId="5" borderId="1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48" customWidth="1" min="3" max="3"/>
    <col width="12" customWidth="1" min="4" max="4"/>
    <col width="48" customWidth="1" min="5" max="5"/>
    <col width="13" customWidth="1" min="6" max="6"/>
    <col width="30" customWidth="1" min="7" max="7"/>
    <col width="38" customWidth="1" min="8" max="8"/>
  </cols>
  <sheetData>
    <row r="1">
      <c r="A1" s="1" t="inlineStr">
        <is>
          <t>364 Lake Shore Drive — Excavation / Sitework: Line by Line (H-02)</t>
        </is>
      </c>
    </row>
    <row r="2">
      <c r="A2" s="2" t="inlineStr">
        <is>
          <t>RSBM proposal 10/12/26 | Bucket Est #1492 10/26/26 | Site Masters Est #3994 10/30/26 (paving &amp; flat work). Yellow = Site Masters PDF could not be read; fill in from the PDF.</t>
        </is>
      </c>
    </row>
    <row r="4">
      <c r="A4" s="3" t="inlineStr">
        <is>
          <t>Scope item</t>
        </is>
      </c>
      <c r="B4" s="3" t="inlineStr">
        <is>
          <t>RSBM $</t>
        </is>
      </c>
      <c r="C4" s="3" t="inlineStr">
        <is>
          <t>RSBM includes</t>
        </is>
      </c>
      <c r="D4" s="3" t="inlineStr">
        <is>
          <t>Bucket $</t>
        </is>
      </c>
      <c r="E4" s="3" t="inlineStr">
        <is>
          <t>Bucket includes</t>
        </is>
      </c>
      <c r="F4" s="3" t="inlineStr">
        <is>
          <t>Site Masters $</t>
        </is>
      </c>
      <c r="G4" s="3" t="inlineStr">
        <is>
          <t>Site Masters includes</t>
        </is>
      </c>
      <c r="H4" s="3" t="inlineStr">
        <is>
          <t>Difference</t>
        </is>
      </c>
    </row>
    <row r="5">
      <c r="A5" s="4" t="inlineStr">
        <is>
          <t>Erosion control</t>
        </is>
      </c>
      <c r="B5" s="5" t="n">
        <v>4100</v>
      </c>
      <c r="C5" s="4" t="inlineStr">
        <is>
          <t>Stabilized construction entrance (1); non-wire-backed silt fence as needed</t>
        </is>
      </c>
      <c r="D5" s="5">
        <f>1800+2910</f>
        <v/>
      </c>
      <c r="E5" s="4" t="inlineStr">
        <is>
          <t>Construction entrance w/ 1 load stone ($1,800); silt fence ($2,910)</t>
        </is>
      </c>
      <c r="F5" s="6" t="n"/>
      <c r="G5" s="7" t="inlineStr"/>
      <c r="H5" s="4" t="inlineStr">
        <is>
          <t>Similar. RSBM: extra erosion measures billed separately.</t>
        </is>
      </c>
    </row>
    <row r="6">
      <c r="A6" s="4" t="inlineStr">
        <is>
          <t>Demolition of existing house</t>
        </is>
      </c>
      <c r="B6" s="5" t="n">
        <v>4900</v>
      </c>
      <c r="C6" s="4" t="inlineStr">
        <is>
          <t>Demo dwelling + site improvements; water &amp; sewer lateral disconnection. Dumpsters excluded</t>
        </is>
      </c>
      <c r="D6" s="5" t="n">
        <v>6500</v>
      </c>
      <c r="E6" s="4" t="inlineStr">
        <is>
          <t>Demo of existing house. Dumpsters by GC</t>
        </is>
      </c>
      <c r="F6" s="6" t="n"/>
      <c r="G6" s="7" t="inlineStr"/>
      <c r="H6" s="4" t="inlineStr">
        <is>
          <t>RSBM includes utility disconnection. Both: dumpsters not included.</t>
        </is>
      </c>
    </row>
    <row r="7">
      <c r="A7" s="4" t="inlineStr">
        <is>
          <t>Topsoil strip (6")</t>
        </is>
      </c>
      <c r="B7" s="8" t="n"/>
      <c r="C7" s="9" t="inlineStr">
        <is>
          <t>NOT included (stripping &amp; export excluded)</t>
        </is>
      </c>
      <c r="D7" s="5" t="n">
        <v>1820</v>
      </c>
      <c r="E7" s="4" t="inlineStr">
        <is>
          <t>Strip 6" topsoil</t>
        </is>
      </c>
      <c r="F7" s="6" t="n"/>
      <c r="G7" s="7" t="inlineStr"/>
      <c r="H7" s="4" t="inlineStr">
        <is>
          <t>Bucket includes, RSBM excludes.</t>
        </is>
      </c>
    </row>
    <row r="8">
      <c r="A8" s="4" t="inlineStr">
        <is>
          <t>Building excavation + backfill / rough grade</t>
        </is>
      </c>
      <c r="B8" s="5" t="n">
        <v>11400</v>
      </c>
      <c r="C8" s="4" t="inlineStr">
        <is>
          <t>Excavate foundation &amp; center footings (3,742 SF bldg); backfill to rough grade</t>
        </is>
      </c>
      <c r="D8" s="5">
        <f>10350+4500</f>
        <v/>
      </c>
      <c r="E8" s="4" t="inlineStr">
        <is>
          <t>Excavate for foundation ($10,350); backfill foundation, rough grading ($4,500)</t>
        </is>
      </c>
      <c r="F8" s="6" t="n"/>
      <c r="G8" s="7" t="inlineStr"/>
      <c r="H8" s="4" t="inlineStr">
        <is>
          <t>Same scope. Bucket higher.</t>
        </is>
      </c>
    </row>
    <row r="9">
      <c r="A9" s="4" t="inlineStr">
        <is>
          <t>Slab prep: gravel + rigid insulation</t>
        </is>
      </c>
      <c r="B9" s="5" t="n">
        <v>8900</v>
      </c>
      <c r="C9" s="4" t="inlineStr">
        <is>
          <t>4" of 3/4" crushed gravel; 2" rigid insulation</t>
        </is>
      </c>
      <c r="D9" s="5">
        <f>4225+5100</f>
        <v/>
      </c>
      <c r="E9" s="4" t="inlineStr">
        <is>
          <t>4" gravel under slab ($4,225); rigid foam ($5,100, thickness not stated)</t>
        </is>
      </c>
      <c r="F9" s="6" t="n"/>
      <c r="G9" s="7" t="inlineStr"/>
      <c r="H9" s="4" t="inlineStr">
        <is>
          <t>Same scope. Confirm Bucket foam thickness.</t>
        </is>
      </c>
    </row>
    <row r="10">
      <c r="A10" s="4" t="inlineStr">
        <is>
          <t>Site drainage + leader drains</t>
        </is>
      </c>
      <c r="B10" s="5">
        <f>19800+6400</f>
        <v/>
      </c>
      <c r="C10" s="4" t="inlineStr">
        <is>
          <t>12" HDPE 160 LF to existing catch basin; 30"x48" catch basin (1); 1,300-gal drywell (1); 6" leader drains ($19,800 + $6,400)</t>
        </is>
      </c>
      <c r="D10" s="5" t="n">
        <v>30746</v>
      </c>
      <c r="E10" s="4" t="inlineStr">
        <is>
          <t>6" leader drain; 1,300-gal drywell; 12" HDPE; catch basin; DRY SWALE</t>
        </is>
      </c>
      <c r="F10" s="6" t="n"/>
      <c r="G10" s="7" t="inlineStr"/>
      <c r="H10" s="4" t="inlineStr">
        <is>
          <t>Bucket adds dry swale. Bucket higher.</t>
        </is>
      </c>
    </row>
    <row r="11">
      <c r="A11" s="4" t="inlineStr">
        <is>
          <t>Water service (4" DIP)</t>
        </is>
      </c>
      <c r="B11" s="5" t="n">
        <v>21300</v>
      </c>
      <c r="C11" s="4" t="inlineStr">
        <is>
          <t>Wet tap (1); 80 LF 4" DIP; 4" tapping valve; backfill item #4 &amp; paving restoration as needed. 1 service</t>
        </is>
      </c>
      <c r="D11" s="5" t="n">
        <v>21345</v>
      </c>
      <c r="E11" s="4" t="inlineStr">
        <is>
          <t>4" DIP, valve, wet tap, ROAD RESTORATION, TRAFFIC CONTROL</t>
        </is>
      </c>
      <c r="F11" s="6" t="n"/>
      <c r="G11" s="7" t="inlineStr"/>
      <c r="H11" s="4" t="inlineStr">
        <is>
          <t>Same price. Bucket states road restoration + traffic control.</t>
        </is>
      </c>
    </row>
    <row r="12">
      <c r="A12" s="4" t="inlineStr">
        <is>
          <t>Sanitary sewer lateral (6")</t>
        </is>
      </c>
      <c r="B12" s="5" t="n">
        <v>7700</v>
      </c>
      <c r="C12" s="4" t="inlineStr">
        <is>
          <t>60 LF 6" SDR35; cleanout (1); tie-in to main; backfill &amp; paving restoration as needed</t>
        </is>
      </c>
      <c r="D12" s="5" t="n">
        <v>13175</v>
      </c>
      <c r="E12" s="4" t="inlineStr">
        <is>
          <t>6" sewer service, cleanout, main connection, ROAD RESTORATION, TRAFFIC CONTROL</t>
        </is>
      </c>
      <c r="F12" s="6" t="n"/>
      <c r="G12" s="7" t="inlineStr"/>
      <c r="H12" s="4" t="inlineStr">
        <is>
          <t>Bucket +$5,475. Biggest gap; likely road work.</t>
        </is>
      </c>
    </row>
    <row r="13">
      <c r="A13" s="4" t="inlineStr">
        <is>
          <t>Gas trench</t>
        </is>
      </c>
      <c r="B13" s="5" t="n">
        <v>1900</v>
      </c>
      <c r="C13" s="4" t="inlineStr">
        <is>
          <t>Gas trench excavation/backfill, sand bedding. Electric trench EXCLUDED</t>
        </is>
      </c>
      <c r="D13" s="5" t="n">
        <v>3000</v>
      </c>
      <c r="E13" s="4" t="inlineStr">
        <is>
          <t>Gas AND electric trench, conduit included</t>
        </is>
      </c>
      <c r="F13" s="6" t="n"/>
      <c r="G13" s="7" t="inlineStr"/>
      <c r="H13" s="4" t="inlineStr">
        <is>
          <t>Bucket includes electric + conduit; RSBM does not.</t>
        </is>
      </c>
    </row>
    <row r="14">
      <c r="A14" s="4" t="inlineStr">
        <is>
          <t>Fine grading</t>
        </is>
      </c>
      <c r="B14" s="5" t="n">
        <v>3600</v>
      </c>
      <c r="C14" s="4" t="inlineStr">
        <is>
          <t>Final grading for smooth elevation. No seed/hay</t>
        </is>
      </c>
      <c r="D14" s="8" t="n"/>
      <c r="E14" s="9" t="inlineStr">
        <is>
          <t>Not listed (rough grading only, above)</t>
        </is>
      </c>
      <c r="F14" s="6" t="n"/>
      <c r="G14" s="7" t="inlineStr"/>
      <c r="H14" s="4" t="inlineStr">
        <is>
          <t>RSBM includes, Bucket does not.</t>
        </is>
      </c>
    </row>
    <row r="15">
      <c r="A15" s="4" t="inlineStr">
        <is>
          <t>Concrete curb</t>
        </is>
      </c>
      <c r="B15" s="8" t="n"/>
      <c r="C15" s="9" t="inlineStr">
        <is>
          <t>NOT included</t>
        </is>
      </c>
      <c r="D15" s="5">
        <f>70*38</f>
        <v/>
      </c>
      <c r="E15" s="4" t="inlineStr">
        <is>
          <t>70 LF @ $38</t>
        </is>
      </c>
      <c r="F15" s="6" t="n"/>
      <c r="G15" s="7" t="inlineStr">
        <is>
          <t>Paving &amp; flat work per email — confirm from PDF</t>
        </is>
      </c>
      <c r="H15" s="4" t="inlineStr">
        <is>
          <t>Paving block: Bucket only so far.</t>
        </is>
      </c>
    </row>
    <row r="16">
      <c r="A16" s="4" t="inlineStr">
        <is>
          <t>4" concrete sidewalk, patio, garbage pads</t>
        </is>
      </c>
      <c r="B16" s="8" t="n"/>
      <c r="C16" s="9" t="inlineStr">
        <is>
          <t>NOT included</t>
        </is>
      </c>
      <c r="D16" s="5">
        <f>1186*16</f>
        <v/>
      </c>
      <c r="E16" s="4" t="inlineStr">
        <is>
          <t>1,186 SF @ $16</t>
        </is>
      </c>
      <c r="F16" s="6" t="n"/>
      <c r="G16" s="7" t="inlineStr">
        <is>
          <t>Paving &amp; flat work per email — confirm from PDF</t>
        </is>
      </c>
      <c r="H16" s="4" t="inlineStr"/>
    </row>
    <row r="17">
      <c r="A17" s="4" t="inlineStr">
        <is>
          <t>Parking lot paving</t>
        </is>
      </c>
      <c r="B17" s="8" t="n"/>
      <c r="C17" s="9" t="inlineStr">
        <is>
          <t>NOT included</t>
        </is>
      </c>
      <c r="D17" s="5">
        <f>1426*6</f>
        <v/>
      </c>
      <c r="E17" s="4" t="inlineStr">
        <is>
          <t>1,426 SF @ $6: 4" item 4 subbase + 3" asphalt binder</t>
        </is>
      </c>
      <c r="F17" s="6" t="n"/>
      <c r="G17" s="7" t="inlineStr">
        <is>
          <t>Paving &amp; flat work per email — confirm from PDF</t>
        </is>
      </c>
      <c r="H17" s="4" t="inlineStr"/>
    </row>
    <row r="18">
      <c r="A18" s="4" t="inlineStr">
        <is>
          <t>Line striping and marking</t>
        </is>
      </c>
      <c r="B18" s="8" t="n"/>
      <c r="C18" s="9" t="inlineStr">
        <is>
          <t>NOT included</t>
        </is>
      </c>
      <c r="D18" s="5" t="n">
        <v>1500</v>
      </c>
      <c r="E18" s="4" t="inlineStr">
        <is>
          <t>Line striping and marking</t>
        </is>
      </c>
      <c r="F18" s="6" t="n"/>
      <c r="G18" s="7" t="inlineStr">
        <is>
          <t>Paving &amp; flat work per email — confirm from PDF</t>
        </is>
      </c>
      <c r="H18" s="4" t="inlineStr"/>
    </row>
    <row r="19">
      <c r="A19" s="4" t="inlineStr">
        <is>
          <t>Road widening</t>
        </is>
      </c>
      <c r="B19" s="8" t="n"/>
      <c r="C19" s="9" t="inlineStr">
        <is>
          <t>NOT included</t>
        </is>
      </c>
      <c r="D19" s="5">
        <f>500*13</f>
        <v/>
      </c>
      <c r="E19" s="4" t="inlineStr">
        <is>
          <t>500 SF @ $13: 12" subbase, 4" binder, 2" top course</t>
        </is>
      </c>
      <c r="F19" s="6" t="n"/>
      <c r="G19" s="7" t="inlineStr">
        <is>
          <t>Paving &amp; flat work per email — confirm from PDF</t>
        </is>
      </c>
      <c r="H19" s="4" t="inlineStr"/>
    </row>
    <row r="20">
      <c r="A20" s="10" t="inlineStr">
        <is>
          <t>TOTAL</t>
        </is>
      </c>
      <c r="B20" s="11">
        <f>SUM(B5:B19)</f>
        <v/>
      </c>
      <c r="C20" s="12" t="n"/>
      <c r="D20" s="11">
        <f>SUM(D5:D19)</f>
        <v/>
      </c>
      <c r="E20" s="12" t="n"/>
      <c r="F20" s="11">
        <f>SUM(F5:F19)</f>
        <v/>
      </c>
      <c r="G20" s="12" t="n"/>
      <c r="H20" s="12" t="inlineStr">
        <is>
          <t>Matches PDFs: RSBM $90,000; Bucket $143,663</t>
        </is>
      </c>
    </row>
    <row r="21">
      <c r="A21" s="13" t="inlineStr">
        <is>
          <t>Same-scope subtotal (excl. paving block)</t>
        </is>
      </c>
      <c r="B21" s="14">
        <f>SUM(B5:B14)</f>
        <v/>
      </c>
      <c r="D21" s="14">
        <f>SUM(D5:D14)</f>
        <v/>
      </c>
      <c r="H21">
        <f>"Bucket higher by "&amp;TEXT(D21-B21,"$#,##0")</f>
        <v/>
      </c>
    </row>
    <row r="23">
      <c r="A23" s="15" t="inlineStr">
        <is>
          <t>EXCLUSIONS &amp; TERMS</t>
        </is>
      </c>
    </row>
    <row r="24">
      <c r="A24" s="4" t="inlineStr">
        <is>
          <t>Export of excess fill / import</t>
        </is>
      </c>
      <c r="C24" s="4" t="inlineStr">
        <is>
          <t>Excluded, no rate</t>
        </is>
      </c>
      <c r="E24" s="4" t="inlineStr">
        <is>
          <t>Excluded: $375 per load</t>
        </is>
      </c>
      <c r="G24" s="7" t="inlineStr">
        <is>
          <t>fill in from PDF</t>
        </is>
      </c>
    </row>
    <row r="25">
      <c r="A25" s="4" t="inlineStr">
        <is>
          <t>Tree removal</t>
        </is>
      </c>
      <c r="C25" s="4" t="inlineStr">
        <is>
          <t>Not mentioned</t>
        </is>
      </c>
      <c r="E25" s="4" t="inlineStr">
        <is>
          <t>By others</t>
        </is>
      </c>
      <c r="G25" s="7" t="inlineStr">
        <is>
          <t>fill in from PDF</t>
        </is>
      </c>
    </row>
    <row r="26">
      <c r="A26" s="4" t="inlineStr">
        <is>
          <t>Clearing &amp; grubbing</t>
        </is>
      </c>
      <c r="C26" s="4" t="inlineStr">
        <is>
          <t>Excluded</t>
        </is>
      </c>
      <c r="E26" s="4" t="inlineStr">
        <is>
          <t>Not mentioned</t>
        </is>
      </c>
      <c r="G26" s="7" t="inlineStr">
        <is>
          <t>fill in from PDF</t>
        </is>
      </c>
    </row>
    <row r="27">
      <c r="A27" s="4" t="inlineStr">
        <is>
          <t>Jackhammer / dewatering</t>
        </is>
      </c>
      <c r="C27" s="4" t="inlineStr">
        <is>
          <t>$2,600/day; $300/day when needed</t>
        </is>
      </c>
      <c r="E27" s="4" t="inlineStr">
        <is>
          <t>Hammering, dewatering NOT included (no rate)</t>
        </is>
      </c>
      <c r="G27" s="7" t="inlineStr">
        <is>
          <t>fill in from PDF</t>
        </is>
      </c>
    </row>
    <row r="28">
      <c r="A28" s="4" t="inlineStr">
        <is>
          <t>Other exclusions</t>
        </is>
      </c>
      <c r="C28" s="4" t="inlineStr">
        <is>
          <t>Underground utility removal; water-main break repair up to $2,400; survey/stakeout; testing</t>
        </is>
      </c>
      <c r="E28" s="4" t="inlineStr">
        <is>
          <t>Trucking, testing, surveying, dewatering, permits, hammering, shoring, sweeping</t>
        </is>
      </c>
      <c r="G28" s="7" t="inlineStr">
        <is>
          <t>fill in from PDF</t>
        </is>
      </c>
    </row>
    <row r="29">
      <c r="A29" s="4" t="inlineStr">
        <is>
          <t>Plan referenced</t>
        </is>
      </c>
      <c r="C29" s="4" t="inlineStr">
        <is>
          <t>None cited</t>
        </is>
      </c>
      <c r="E29" s="4" t="inlineStr">
        <is>
          <t>Friedlander Engineering dated 8.14.26</t>
        </is>
      </c>
      <c r="G29" s="7" t="inlineStr">
        <is>
          <t>fill in from PDF</t>
        </is>
      </c>
    </row>
    <row r="30">
      <c r="A30" s="4" t="inlineStr">
        <is>
          <t>Valid until</t>
        </is>
      </c>
      <c r="C30" s="4" t="inlineStr">
        <is>
          <t>Not stated</t>
        </is>
      </c>
      <c r="E30" s="4" t="inlineStr">
        <is>
          <t>11/26/2026</t>
        </is>
      </c>
      <c r="G30" s="7" t="inlineStr">
        <is>
          <t>fill in from PDF</t>
        </is>
      </c>
    </row>
    <row r="31">
      <c r="A31" s="4" t="inlineStr">
        <is>
          <t>Payment</t>
        </is>
      </c>
      <c r="C31" s="4" t="inlineStr">
        <is>
          <t>25% when each job starts, then weekly progress billing</t>
        </is>
      </c>
      <c r="E31" s="4" t="inlineStr">
        <is>
          <t>25% deposit on start; price may adjust if materials rise &gt;5%; 3.5% card surcharge</t>
        </is>
      </c>
      <c r="G31" s="7" t="inlineStr">
        <is>
          <t>fill in from PDF</t>
        </is>
      </c>
    </row>
    <row r="32">
      <c r="A32" s="4" t="inlineStr">
        <is>
          <t>Signed?</t>
        </is>
      </c>
      <c r="C32" s="4" t="inlineStr">
        <is>
          <t>No (blank)</t>
        </is>
      </c>
      <c r="E32" s="4" t="inlineStr">
        <is>
          <t>Needs signature and return</t>
        </is>
      </c>
      <c r="G32" s="7" t="inlineStr">
        <is>
          <t>fill in from PDF</t>
        </is>
      </c>
    </row>
    <row r="33">
      <c r="A33" s="4" t="inlineStr">
        <is>
          <t>Warranty</t>
        </is>
      </c>
      <c r="C33" s="4" t="inlineStr">
        <is>
          <t>2 years</t>
        </is>
      </c>
      <c r="E33" s="4" t="inlineStr">
        <is>
          <t>Not stated</t>
        </is>
      </c>
      <c r="G33" s="7" t="inlineStr">
        <is>
          <t>fill in from 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Key differences (simple)</t>
        </is>
      </c>
    </row>
    <row r="3">
      <c r="A3" s="16" t="inlineStr">
        <is>
          <t>Total</t>
        </is>
      </c>
      <c r="B3" s="17" t="inlineStr">
        <is>
          <t>RSBM $90,000 vs Bucket $143,663. Same-scope: $90,000 vs $105,471 (Bucket +$15,471). Rest of Bucket ($38,192) is paving/flat work.</t>
        </is>
      </c>
    </row>
    <row r="4">
      <c r="A4" s="16" t="inlineStr">
        <is>
          <t>RSBM only</t>
        </is>
      </c>
      <c r="B4" s="17" t="inlineStr">
        <is>
          <t>Fine grading ($3,600). Utility disconnection at demo.</t>
        </is>
      </c>
    </row>
    <row r="5">
      <c r="A5" s="16" t="inlineStr">
        <is>
          <t>Bucket only</t>
        </is>
      </c>
      <c r="B5" s="17" t="inlineStr">
        <is>
          <t>Topsoil strip, dry swale, electric trench + conduit, road restoration + traffic control on water/sewer, all paving/flat work.</t>
        </is>
      </c>
    </row>
    <row r="6">
      <c r="A6" s="16" t="inlineStr">
        <is>
          <t>Both exclude</t>
        </is>
      </c>
      <c r="B6" s="17" t="inlineStr">
        <is>
          <t>Dumpsters, survey, testing. Both exclude fill export (Bucket quotes $375/load; RSBM no rate).</t>
        </is>
      </c>
    </row>
    <row r="7">
      <c r="A7" s="16" t="inlineStr">
        <is>
          <t>Biggest gaps</t>
        </is>
      </c>
      <c r="B7" s="17" t="inlineStr">
        <is>
          <t>Sewer lateral (+$5,475 Bucket), drainage (+$4,546 Bucket), building excavation (+$5,270 Bucket incl. topsoil).</t>
        </is>
      </c>
    </row>
    <row r="8">
      <c r="A8" s="16" t="inlineStr">
        <is>
          <t>Site Masters</t>
        </is>
      </c>
      <c r="B8" s="17" t="inlineStr">
        <is>
          <t>Paving &amp; flat work only per email; measurements PDF attached. Not a full excavation bid. Amount/lines still to enter.</t>
        </is>
      </c>
    </row>
    <row r="9">
      <c r="A9" s="16" t="inlineStr">
        <is>
          <t>Ask RSBM</t>
        </is>
      </c>
      <c r="B9" s="17" t="inlineStr">
        <is>
          <t>Paving/flat work? Electric trench? Topsoil/fill export rate? Road restoration included? Plan revision? Valid-until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2026-11-01T17:16:45Z</dcterms:created>
  <dcterms:modified xmlns:dcterms="http://purl.org/dc/terms/" xmlns:xsi="http://www.w3.org/2001/XMLSchema-instance" xsi:type="dcterms:W3CDTF">2026-11-01T17:16:45Z</dcterms:modified>
</cp:coreProperties>
</file>