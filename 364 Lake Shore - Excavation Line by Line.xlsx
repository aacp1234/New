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 by Line" sheetId="1" state="visible" r:id="rId1"/>
    <sheet xmlns:r="http://schemas.openxmlformats.org/officeDocument/2006/relationships" name="Differenc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6">
    <font>
      <name val="Calibri"/>
      <family val="2"/>
      <color theme="1"/>
      <sz val="11"/>
      <scheme val="minor"/>
    </font>
    <font>
      <b val="1"/>
      <sz val="14"/>
    </font>
    <font>
      <i val="1"/>
      <color rgb="007F7F7F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0" fontId="0" fillId="0" borderId="1" pivotButton="0" quotePrefix="0" xfId="0"/>
    <xf numFmtId="0" fontId="5" fillId="3" borderId="1" pivotButton="0" quotePrefix="0" xfId="0"/>
    <xf numFmtId="164" fontId="5" fillId="3" borderId="1" pivotButton="0" quotePrefix="0" xfId="0"/>
    <xf numFmtId="164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1" customWidth="1" min="2" max="2"/>
    <col width="40" customWidth="1" min="3" max="3"/>
    <col width="11" customWidth="1" min="4" max="4"/>
    <col width="40" customWidth="1" min="5" max="5"/>
    <col width="13" customWidth="1" min="6" max="6"/>
    <col width="46" customWidth="1" min="7" max="7"/>
    <col width="40" customWidth="1" min="8" max="8"/>
  </cols>
  <sheetData>
    <row r="1">
      <c r="A1" s="1" t="inlineStr">
        <is>
          <t>364 Lake Shore Drive — Excavation / Sitework: Line by Line (H-02)</t>
        </is>
      </c>
    </row>
    <row r="2">
      <c r="A2" s="2" t="inlineStr">
        <is>
          <t>RSBM proposal 10/12/26 | Bucket Est #1492 10/26/26 | Site Masters Est #3994 10/30/26.  Red = not included.  Amber = a note worth a look.</t>
        </is>
      </c>
    </row>
    <row r="4">
      <c r="A4" s="3" t="inlineStr">
        <is>
          <t>Scope item</t>
        </is>
      </c>
      <c r="B4" s="3" t="inlineStr">
        <is>
          <t>RSBM $</t>
        </is>
      </c>
      <c r="C4" s="3" t="inlineStr">
        <is>
          <t>RSBM includes</t>
        </is>
      </c>
      <c r="D4" s="3" t="inlineStr">
        <is>
          <t>Bucket $</t>
        </is>
      </c>
      <c r="E4" s="3" t="inlineStr">
        <is>
          <t>Bucket includes</t>
        </is>
      </c>
      <c r="F4" s="3" t="inlineStr">
        <is>
          <t>Site Masters $</t>
        </is>
      </c>
      <c r="G4" s="3" t="inlineStr">
        <is>
          <t>Site Masters includes</t>
        </is>
      </c>
      <c r="H4" s="3" t="inlineStr">
        <is>
          <t>Difference</t>
        </is>
      </c>
    </row>
    <row r="5">
      <c r="A5" s="4" t="inlineStr">
        <is>
          <t>A. EXCAVATION, UTILITIES, SITE</t>
        </is>
      </c>
      <c r="B5" s="5" t="n"/>
      <c r="C5" s="5" t="n"/>
      <c r="D5" s="5" t="n"/>
      <c r="E5" s="5" t="n"/>
      <c r="F5" s="5" t="n"/>
      <c r="G5" s="5" t="n"/>
      <c r="H5" s="5" t="n"/>
    </row>
    <row r="6">
      <c r="A6" s="6" t="inlineStr">
        <is>
          <t>Erosion control</t>
        </is>
      </c>
      <c r="B6" s="7" t="n">
        <v>4100</v>
      </c>
      <c r="C6" s="6" t="inlineStr">
        <is>
          <t>Stabilized construction entrance; silt fence as needed</t>
        </is>
      </c>
      <c r="D6" s="7">
        <f>1800+2910</f>
        <v/>
      </c>
      <c r="E6" s="6" t="inlineStr">
        <is>
          <t>Construction entrance (1 load stone); silt fence</t>
        </is>
      </c>
      <c r="F6" s="7">
        <f>1855+1687+221</f>
        <v/>
      </c>
      <c r="G6" s="6" t="inlineStr">
        <is>
          <t>Construction entrance; silt fence around site; INLET PROTECTION</t>
        </is>
      </c>
      <c r="H6" s="6" t="inlineStr">
        <is>
          <t>SM adds inlet protection. Refresh: SM silt fence $1,690, entrance $1,500/load.</t>
        </is>
      </c>
    </row>
    <row r="7">
      <c r="A7" s="6" t="inlineStr">
        <is>
          <t>Demolition of house</t>
        </is>
      </c>
      <c r="B7" s="7" t="n">
        <v>4900</v>
      </c>
      <c r="C7" s="6" t="inlineStr">
        <is>
          <t>House + site improvements; water/sewer disconnection. No dumpsters</t>
        </is>
      </c>
      <c r="D7" s="7" t="n">
        <v>6500</v>
      </c>
      <c r="E7" s="6" t="inlineStr">
        <is>
          <t>House demo. Dumpsters by GC</t>
        </is>
      </c>
      <c r="F7" s="7" t="n">
        <v>4875</v>
      </c>
      <c r="G7" s="6" t="inlineStr">
        <is>
          <t>House demo. Trash containers not included</t>
        </is>
      </c>
      <c r="H7" s="6" t="inlineStr">
        <is>
          <t>All similar. Dumpsters excluded by all three.</t>
        </is>
      </c>
    </row>
    <row r="8">
      <c r="A8" s="6" t="inlineStr">
        <is>
          <t>Topsoil strip</t>
        </is>
      </c>
      <c r="B8" s="8" t="n"/>
      <c r="C8" s="9" t="inlineStr">
        <is>
          <t>NOT included</t>
        </is>
      </c>
      <c r="D8" s="7" t="n">
        <v>1820</v>
      </c>
      <c r="E8" s="6" t="inlineStr">
        <is>
          <t>Strip 6" topsoil</t>
        </is>
      </c>
      <c r="F8" s="7" t="n">
        <v>1925</v>
      </c>
      <c r="G8" s="6" t="inlineStr">
        <is>
          <t>Strip topsoil</t>
        </is>
      </c>
      <c r="H8" s="6" t="inlineStr">
        <is>
          <t>RSBM excludes; Bucket and SM include.</t>
        </is>
      </c>
    </row>
    <row r="9">
      <c r="A9" s="6" t="inlineStr">
        <is>
          <t>Building excavation + backfill + rough grade</t>
        </is>
      </c>
      <c r="B9" s="7" t="n">
        <v>11400</v>
      </c>
      <c r="C9" s="6" t="inlineStr">
        <is>
          <t>Excavate foundation &amp; center footings (3,742 SF); backfill to rough grade</t>
        </is>
      </c>
      <c r="D9" s="7">
        <f>10350+4500</f>
        <v/>
      </c>
      <c r="E9" s="6" t="inlineStr">
        <is>
          <t>Excavate foundation; backfill, rough grading</t>
        </is>
      </c>
      <c r="F9" s="7">
        <f>5493+3640+4030</f>
        <v/>
      </c>
      <c r="G9" s="6" t="inlineStr">
        <is>
          <t>Dig foundation + frost walls; backfill outside; rough grading</t>
        </is>
      </c>
      <c r="H9" s="6" t="inlineStr">
        <is>
          <t>Same scope. RSBM lowest.</t>
        </is>
      </c>
    </row>
    <row r="10">
      <c r="A10" s="6" t="inlineStr">
        <is>
          <t>Slab prep: stone / gravel + insulation</t>
        </is>
      </c>
      <c r="B10" s="7" t="n">
        <v>8900</v>
      </c>
      <c r="C10" s="6" t="inlineStr">
        <is>
          <t>4" crushed gravel + 2" rigid insulation</t>
        </is>
      </c>
      <c r="D10" s="7">
        <f>4225+5100</f>
        <v/>
      </c>
      <c r="E10" s="6" t="inlineStr">
        <is>
          <t>4" gravel under slab + rigid foam</t>
        </is>
      </c>
      <c r="F10" s="7" t="n">
        <v>7976</v>
      </c>
      <c r="G10" s="6" t="inlineStr">
        <is>
          <t>Backfill interior with dirt + 4" stone. NO rigid insulation listed</t>
        </is>
      </c>
      <c r="H10" s="6" t="inlineStr">
        <is>
          <t>SM has no insulation line.</t>
        </is>
      </c>
    </row>
    <row r="11">
      <c r="A11" s="6" t="inlineStr">
        <is>
          <t>Footing drain (325 LF)</t>
        </is>
      </c>
      <c r="B11" s="8" t="n"/>
      <c r="C11" s="9" t="inlineStr">
        <is>
          <t>Not mentioned</t>
        </is>
      </c>
      <c r="D11" s="8" t="n"/>
      <c r="E11" s="9" t="inlineStr">
        <is>
          <t>Not mentioned</t>
        </is>
      </c>
      <c r="F11" s="7" t="n">
        <v>0</v>
      </c>
      <c r="G11" s="6" t="inlineStr">
        <is>
          <t>IF NEEDED: 4" footing drain 325 LF = $8,720 (shown as $0)</t>
        </is>
      </c>
      <c r="H11" s="6" t="inlineStr">
        <is>
          <t>SM optional add $8,720. Others silent.</t>
        </is>
      </c>
    </row>
    <row r="12">
      <c r="A12" s="6" t="inlineStr">
        <is>
          <t>Site drainage + leader drains + swale</t>
        </is>
      </c>
      <c r="B12" s="7">
        <f>19800+6400</f>
        <v/>
      </c>
      <c r="C12" s="6" t="inlineStr">
        <is>
          <t>12" HDPE 160 LF; catch basin; 1,300-gal drywell; 6" leaders</t>
        </is>
      </c>
      <c r="D12" s="7" t="n">
        <v>30746</v>
      </c>
      <c r="E12" s="6" t="inlineStr">
        <is>
          <t>Leader drain; 1,300-gal drywell; 12" HDPE; catch basin; dry swale</t>
        </is>
      </c>
      <c r="F12" s="7">
        <f>6820+5415+8103+644+975+5653+3250</f>
        <v/>
      </c>
      <c r="G12" s="6" t="inlineStr">
        <is>
          <t>12" HDPE 160 LF; catch basin; tie-in; 4" leader 295 LF; swale grading; 1,000-gal drywell; optional FES $644</t>
        </is>
      </c>
      <c r="H12" s="6" t="inlineStr">
        <is>
          <t>SM drywell is 1,000 gal (+$1,500 for the 1,300-gal on plan) and includes optional FES $644. RSBM lowest.</t>
        </is>
      </c>
    </row>
    <row r="13">
      <c r="A13" s="6" t="inlineStr">
        <is>
          <t>Water service (4" DIP, 80 LF)</t>
        </is>
      </c>
      <c r="B13" s="7" t="n">
        <v>21300</v>
      </c>
      <c r="C13" s="6" t="inlineStr">
        <is>
          <t>Wet tap; 4" DIP 80 LF; valve; paving restoration as needed</t>
        </is>
      </c>
      <c r="D13" s="7" t="n">
        <v>21345</v>
      </c>
      <c r="E13" s="6" t="inlineStr">
        <is>
          <t>4" DIP; valve; wet tap; road restoration; traffic control</t>
        </is>
      </c>
      <c r="F13" s="7">
        <f>9110+1690+1495+3378+11069</f>
        <v/>
      </c>
      <c r="G13" s="6" t="inlineStr">
        <is>
          <t>4" DIP 80 LF; spool piece; valve; tapping sleeve; road crossing 20 LF w/ traffic control, plates, repaving</t>
        </is>
      </c>
      <c r="H13" s="6" t="inlineStr">
        <is>
          <t>SM +$5,400. Road crossing = $11,069.</t>
        </is>
      </c>
    </row>
    <row r="14">
      <c r="A14" s="6" t="inlineStr">
        <is>
          <t>Sanitary sewer lateral (6", 60 LF)</t>
        </is>
      </c>
      <c r="B14" s="7" t="n">
        <v>7700</v>
      </c>
      <c r="C14" s="6" t="inlineStr">
        <is>
          <t>6" SDR35 60 LF; cleanout; tie-in; paving restoration as needed</t>
        </is>
      </c>
      <c r="D14" s="7" t="n">
        <v>13175</v>
      </c>
      <c r="E14" s="6" t="inlineStr">
        <is>
          <t>6" sewer; cleanout; main connection; road restoration; traffic control</t>
        </is>
      </c>
      <c r="F14" s="7">
        <f>3426+221+10770</f>
        <v/>
      </c>
      <c r="G14" s="6" t="inlineStr">
        <is>
          <t>6" SDR35 60 LF; cleanout; road work + repaving 10 LF, 8' deep</t>
        </is>
      </c>
      <c r="H14" s="6" t="inlineStr">
        <is>
          <t>RSBM much lower; road work $10,770 at SM.</t>
        </is>
      </c>
    </row>
    <row r="15">
      <c r="A15" s="6" t="inlineStr">
        <is>
          <t>Utility trench (gas / electric)</t>
        </is>
      </c>
      <c r="B15" s="7" t="n">
        <v>1900</v>
      </c>
      <c r="C15" s="6" t="inlineStr">
        <is>
          <t>GAS trench only, sand bedding. Electric excluded</t>
        </is>
      </c>
      <c r="D15" s="7" t="n">
        <v>3000</v>
      </c>
      <c r="E15" s="6" t="inlineStr">
        <is>
          <t>Gas AND electric trench, conduit included</t>
        </is>
      </c>
      <c r="F15" s="7" t="n">
        <v>4080</v>
      </c>
      <c r="G15" s="6" t="inlineStr">
        <is>
          <t>Utility trenching, EXCLUDES conduits</t>
        </is>
      </c>
      <c r="H15" s="6" t="inlineStr">
        <is>
          <t>Bucket includes conduit. SM does not.</t>
        </is>
      </c>
    </row>
    <row r="16">
      <c r="A16" s="6" t="inlineStr">
        <is>
          <t>Fine grading (finish)</t>
        </is>
      </c>
      <c r="B16" s="7" t="n">
        <v>3600</v>
      </c>
      <c r="C16" s="6" t="inlineStr">
        <is>
          <t>Final grading, smooth elevation</t>
        </is>
      </c>
      <c r="D16" s="8" t="n"/>
      <c r="E16" s="9" t="inlineStr">
        <is>
          <t>Not listed</t>
        </is>
      </c>
      <c r="F16" s="8" t="n"/>
      <c r="G16" s="9" t="inlineStr">
        <is>
          <t>Not included. Rough grading only</t>
        </is>
      </c>
      <c r="H16" s="6" t="inlineStr">
        <is>
          <t>Only RSBM prices finish grading.</t>
        </is>
      </c>
    </row>
    <row r="17">
      <c r="A17" s="10" t="inlineStr">
        <is>
          <t>Subtotal</t>
        </is>
      </c>
      <c r="B17" s="11">
        <f>SUM(B6:B16)</f>
        <v/>
      </c>
      <c r="C17" s="12" t="n"/>
      <c r="D17" s="11">
        <f>SUM(D6:D16)</f>
        <v/>
      </c>
      <c r="E17" s="12" t="n"/>
      <c r="F17" s="11">
        <f>SUM(F6:F16)</f>
        <v/>
      </c>
      <c r="G17" s="12" t="n"/>
      <c r="H17" s="12" t="n"/>
    </row>
    <row r="19">
      <c r="A19" s="4" t="inlineStr">
        <is>
          <t>B. PAVING &amp; FLAT WORK</t>
        </is>
      </c>
      <c r="B19" s="5" t="n"/>
      <c r="C19" s="5" t="n"/>
      <c r="D19" s="5" t="n"/>
      <c r="E19" s="5" t="n"/>
      <c r="F19" s="5" t="n"/>
      <c r="G19" s="5" t="n"/>
      <c r="H19" s="5" t="n"/>
    </row>
    <row r="20">
      <c r="A20" s="6" t="inlineStr">
        <is>
          <t>Concrete curb (70 LF)</t>
        </is>
      </c>
      <c r="B20" s="8" t="n"/>
      <c r="C20" s="9" t="inlineStr">
        <is>
          <t>NOT included</t>
        </is>
      </c>
      <c r="D20" s="7">
        <f>70*38</f>
        <v/>
      </c>
      <c r="E20" s="6" t="inlineStr">
        <is>
          <t>70 LF @ $38</t>
        </is>
      </c>
      <c r="F20" s="7">
        <f>70*35</f>
        <v/>
      </c>
      <c r="G20" s="6" t="inlineStr">
        <is>
          <t>70 LF @ $35</t>
        </is>
      </c>
      <c r="H20" s="6" t="inlineStr">
        <is>
          <t>Similar.</t>
        </is>
      </c>
    </row>
    <row r="21">
      <c r="A21" s="6" t="inlineStr">
        <is>
          <t>Sidewalk + patio + garbage pads</t>
        </is>
      </c>
      <c r="B21" s="8" t="n"/>
      <c r="C21" s="9" t="inlineStr">
        <is>
          <t>NOT included</t>
        </is>
      </c>
      <c r="D21" s="7">
        <f>1186*16</f>
        <v/>
      </c>
      <c r="E21" s="6" t="inlineStr">
        <is>
          <t>1,186 SF @ $16 (sidewalk, patio, garbage pads)</t>
        </is>
      </c>
      <c r="F21" s="7">
        <f>12330+1746+1530</f>
        <v/>
      </c>
      <c r="G21" s="6" t="inlineStr">
        <is>
          <t>Sidewalk 822 SF; 6" garbage pad 97 SF; patio 102 SF (1,021 SF total)</t>
        </is>
      </c>
      <c r="H21" s="6" t="inlineStr">
        <is>
          <t>Bucket counts 165 SF more.</t>
        </is>
      </c>
    </row>
    <row r="22">
      <c r="A22" s="6" t="inlineStr">
        <is>
          <t>Parking lot paving</t>
        </is>
      </c>
      <c r="B22" s="8" t="n"/>
      <c r="C22" s="9" t="inlineStr">
        <is>
          <t>NOT included</t>
        </is>
      </c>
      <c r="D22" s="7">
        <f>1426*6</f>
        <v/>
      </c>
      <c r="E22" s="6" t="inlineStr">
        <is>
          <t>1,426 SF @ $6: 4" subbase + 3" binder</t>
        </is>
      </c>
      <c r="F22" s="7">
        <f>1300*6.35</f>
        <v/>
      </c>
      <c r="G22" s="6" t="inlineStr">
        <is>
          <t>1,300 SF @ $6.35: 6" subbase + 3" top</t>
        </is>
      </c>
      <c r="H22" s="6" t="inlineStr">
        <is>
          <t>Different build-up and area.</t>
        </is>
      </c>
    </row>
    <row r="23">
      <c r="A23" s="6" t="inlineStr">
        <is>
          <t>Road widening (500 SF)</t>
        </is>
      </c>
      <c r="B23" s="8" t="n"/>
      <c r="C23" s="9" t="inlineStr">
        <is>
          <t>NOT included</t>
        </is>
      </c>
      <c r="D23" s="7" t="n">
        <v>6500</v>
      </c>
      <c r="E23" s="6" t="inlineStr">
        <is>
          <t>12" subbase, 4" binder, 2" top</t>
        </is>
      </c>
      <c r="F23" s="7" t="n">
        <v>6827</v>
      </c>
      <c r="G23" s="6" t="inlineStr">
        <is>
          <t>12" subbase, 4" binder, 2" top</t>
        </is>
      </c>
      <c r="H23" s="6" t="inlineStr">
        <is>
          <t>Same spec. Asphalt price floats weekly at SM.</t>
        </is>
      </c>
    </row>
    <row r="24">
      <c r="A24" s="6" t="inlineStr">
        <is>
          <t>Line striping / marking</t>
        </is>
      </c>
      <c r="B24" s="8" t="n"/>
      <c r="C24" s="9" t="inlineStr">
        <is>
          <t>NOT included</t>
        </is>
      </c>
      <c r="D24" s="7" t="n">
        <v>1500</v>
      </c>
      <c r="E24" s="6" t="inlineStr">
        <is>
          <t>Line striping and marking</t>
        </is>
      </c>
      <c r="F24" s="8" t="n"/>
      <c r="G24" s="9" t="inlineStr">
        <is>
          <t>Not included</t>
        </is>
      </c>
      <c r="H24" s="6" t="inlineStr">
        <is>
          <t>Bucket only.</t>
        </is>
      </c>
    </row>
    <row r="25">
      <c r="A25" s="10" t="inlineStr">
        <is>
          <t>Subtotal</t>
        </is>
      </c>
      <c r="B25" s="11">
        <f>SUM(B20:B24)</f>
        <v/>
      </c>
      <c r="C25" s="12" t="n"/>
      <c r="D25" s="11">
        <f>SUM(D20:D24)</f>
        <v/>
      </c>
      <c r="E25" s="12" t="n"/>
      <c r="F25" s="11">
        <f>SUM(F20:F24)</f>
        <v/>
      </c>
      <c r="G25" s="12" t="n"/>
      <c r="H25" s="12" t="n"/>
    </row>
    <row r="27">
      <c r="A27" s="4" t="inlineStr">
        <is>
          <t>C. TREE / STUMP REMOVAL</t>
        </is>
      </c>
      <c r="B27" s="5" t="n"/>
      <c r="C27" s="5" t="n"/>
      <c r="D27" s="5" t="n"/>
      <c r="E27" s="5" t="n"/>
      <c r="F27" s="5" t="n"/>
      <c r="G27" s="5" t="n"/>
      <c r="H27" s="5" t="n"/>
    </row>
    <row r="28">
      <c r="A28" s="6" t="inlineStr">
        <is>
          <t>Tree, bush and stump removal</t>
        </is>
      </c>
      <c r="B28" s="8" t="n"/>
      <c r="C28" s="9" t="inlineStr">
        <is>
          <t>NOT included</t>
        </is>
      </c>
      <c r="D28" s="7" t="n"/>
      <c r="E28" s="6" t="inlineStr">
        <is>
          <t>Tree removal by others</t>
        </is>
      </c>
      <c r="F28" s="7">
        <f>9000+1200+5040</f>
        <v/>
      </c>
      <c r="G28" s="6" t="inlineStr">
        <is>
          <t>4 large pines + 3 trees + all front/side bushes + dig out and remove stumps</t>
        </is>
      </c>
      <c r="H28" s="6" t="inlineStr">
        <is>
          <t>SM only: $15,240. Not in RSBM or Bucket.</t>
        </is>
      </c>
    </row>
    <row r="29">
      <c r="A29" s="10" t="inlineStr">
        <is>
          <t>Subtotal</t>
        </is>
      </c>
      <c r="B29" s="11">
        <f>SUM(B28:B28)</f>
        <v/>
      </c>
      <c r="C29" s="12" t="n"/>
      <c r="D29" s="11">
        <f>SUM(D28:D28)</f>
        <v/>
      </c>
      <c r="E29" s="12" t="n"/>
      <c r="F29" s="11">
        <f>SUM(F28:F28)</f>
        <v/>
      </c>
      <c r="G29" s="12" t="n"/>
      <c r="H29" s="12" t="n"/>
    </row>
    <row r="31">
      <c r="A31" s="13" t="inlineStr">
        <is>
          <t>GRAND TOTAL</t>
        </is>
      </c>
      <c r="B31" s="14">
        <f>B17+B25+B29</f>
        <v/>
      </c>
      <c r="C31" s="5" t="n"/>
      <c r="D31" s="14">
        <f>D17+D25+D29</f>
        <v/>
      </c>
      <c r="E31" s="5" t="n"/>
      <c r="F31" s="14">
        <f>F17+F25+F29</f>
        <v/>
      </c>
      <c r="G31" s="5" t="n"/>
      <c r="H31" s="5" t="inlineStr">
        <is>
          <t>Ties to PDFs: $90,000 / $143,663 / $156,179</t>
        </is>
      </c>
    </row>
    <row r="32">
      <c r="A32" t="inlineStr">
        <is>
          <t>Total excluding tree removal</t>
        </is>
      </c>
      <c r="B32" s="15">
        <f>B17+B25</f>
        <v/>
      </c>
      <c r="D32" s="15">
        <f>D17+D25</f>
        <v/>
      </c>
      <c r="F32" s="15">
        <f>F17+F25</f>
        <v/>
      </c>
      <c r="H32" t="inlineStr">
        <is>
          <t>Fairer compare: RSBM $90,000 | Bucket $143,663 | SM $140,939</t>
        </is>
      </c>
    </row>
    <row r="34">
      <c r="A34" s="16" t="inlineStr">
        <is>
          <t>EXCLUSIONS &amp; TERMS</t>
        </is>
      </c>
    </row>
    <row r="35">
      <c r="A35" s="6" t="inlineStr">
        <is>
          <t>Trucking / fill import-export</t>
        </is>
      </c>
      <c r="C35" s="6" t="inlineStr">
        <is>
          <t>Import/export excluded, no rate</t>
        </is>
      </c>
      <c r="E35" s="6" t="inlineStr">
        <is>
          <t>Export excess fill $375/load; trucking not included</t>
        </is>
      </c>
      <c r="G35" s="6" t="inlineStr">
        <is>
          <t>Trucking + dirt loads at market rate; extra stone/dirt for backfill excluded</t>
        </is>
      </c>
    </row>
    <row r="36">
      <c r="A36" s="6" t="inlineStr">
        <is>
          <t>Hammering / dewatering</t>
        </is>
      </c>
      <c r="C36" s="6" t="inlineStr">
        <is>
          <t>Jackhammer $2,600/day; dewatering $300/day if needed</t>
        </is>
      </c>
      <c r="E36" s="6" t="inlineStr">
        <is>
          <t>Hammering, dewatering not included (no rate)</t>
        </is>
      </c>
      <c r="G36" s="6" t="inlineStr">
        <is>
          <t>Hammering and drilling excluded (no rate)</t>
        </is>
      </c>
    </row>
    <row r="37">
      <c r="A37" s="6" t="inlineStr">
        <is>
          <t>Other exclusions</t>
        </is>
      </c>
      <c r="C37" s="6" t="inlineStr">
        <is>
          <t>Underground utility removal; water-main break repair up to $2,400; survey; testing</t>
        </is>
      </c>
      <c r="E37" s="6" t="inlineStr">
        <is>
          <t>Surveying, testing, permits, shoring, sweeping</t>
        </is>
      </c>
      <c r="G37" s="6" t="inlineStr">
        <is>
          <t>Sweeping, testing, permits, legal fees; winter concrete; pump truck; washout pan $725 each</t>
        </is>
      </c>
    </row>
    <row r="38">
      <c r="A38" s="6" t="inlineStr">
        <is>
          <t>Price risk</t>
        </is>
      </c>
      <c r="C38" s="6" t="inlineStr">
        <is>
          <t>Not stated</t>
        </is>
      </c>
      <c r="E38" s="6" t="inlineStr">
        <is>
          <t>Materials +5% = price may adjust</t>
        </is>
      </c>
      <c r="G38" s="6" t="inlineStr">
        <is>
          <t>Asphalt floats weekly (NYSDOT index); daily fuel fee per machine; drainage priced to existing catch basin elevation</t>
        </is>
      </c>
    </row>
    <row r="39">
      <c r="A39" s="6" t="inlineStr">
        <is>
          <t>Plan referenced</t>
        </is>
      </c>
      <c r="C39" s="6" t="inlineStr">
        <is>
          <t>None cited</t>
        </is>
      </c>
      <c r="E39" s="6" t="inlineStr">
        <is>
          <t>Friedlander 8.14.26</t>
        </is>
      </c>
      <c r="G39" s="6" t="inlineStr">
        <is>
          <t>Site plan 8/14/26; foundation plan 9/24/26</t>
        </is>
      </c>
    </row>
    <row r="40">
      <c r="A40" s="6" t="inlineStr">
        <is>
          <t>Valid until</t>
        </is>
      </c>
      <c r="C40" s="6" t="inlineStr">
        <is>
          <t>Not stated</t>
        </is>
      </c>
      <c r="E40" s="6" t="inlineStr">
        <is>
          <t>11/26/2026</t>
        </is>
      </c>
      <c r="G40" s="6" t="inlineStr">
        <is>
          <t>Not stated</t>
        </is>
      </c>
    </row>
    <row r="41">
      <c r="A41" s="6" t="inlineStr">
        <is>
          <t>Payment</t>
        </is>
      </c>
      <c r="C41" s="6" t="inlineStr">
        <is>
          <t>25% at start of each job, then weekly</t>
        </is>
      </c>
      <c r="E41" s="6" t="inlineStr">
        <is>
          <t>25% deposit at start</t>
        </is>
      </c>
      <c r="G41" s="6" t="inlineStr">
        <is>
          <t>50% deposit at start; trucking paid before backfill; 3% card fee (3.5% Amex)</t>
        </is>
      </c>
    </row>
    <row r="42">
      <c r="A42" s="6" t="inlineStr">
        <is>
          <t>Signed?</t>
        </is>
      </c>
      <c r="C42" s="6" t="inlineStr">
        <is>
          <t>No</t>
        </is>
      </c>
      <c r="E42" s="6" t="inlineStr">
        <is>
          <t>Needs signature and return</t>
        </is>
      </c>
      <c r="G42" s="6" t="inlineStr">
        <is>
          <t>No (signature blank)</t>
        </is>
      </c>
    </row>
    <row r="43">
      <c r="A43" s="6" t="inlineStr">
        <is>
          <t>Warranty</t>
        </is>
      </c>
      <c r="C43" s="6" t="inlineStr">
        <is>
          <t>2 years</t>
        </is>
      </c>
      <c r="E43" s="6" t="inlineStr">
        <is>
          <t>Not stated</t>
        </is>
      </c>
      <c r="G43" s="6" t="inlineStr">
        <is>
          <t>Not stated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>
      <c r="A1" s="1" t="inlineStr">
        <is>
          <t>Key differences (simple)</t>
        </is>
      </c>
    </row>
    <row r="3">
      <c r="A3" s="17" t="inlineStr">
        <is>
          <t>Totals</t>
        </is>
      </c>
      <c r="B3" s="18" t="inlineStr">
        <is>
          <t>RSBM $90,000 | Bucket $143,663 | Site Masters $156,179 (all as quoted).</t>
        </is>
      </c>
    </row>
    <row r="4">
      <c r="A4" s="17" t="inlineStr">
        <is>
          <t>Same scope (A)</t>
        </is>
      </c>
      <c r="B4" s="18" t="inlineStr">
        <is>
          <t>Excavation/utilities/site: RSBM $90,000 | Bucket $105,471 | SM $107,801. RSBM is $15-18K lower.</t>
        </is>
      </c>
    </row>
    <row r="5">
      <c r="A5" s="17" t="inlineStr">
        <is>
          <t>Paving &amp; flat work (B)</t>
        </is>
      </c>
      <c r="B5" s="18" t="inlineStr">
        <is>
          <t>Bucket $38,192 | SM $33,138 | RSBM none. Bucket and SM are close. RSBM did not price it.</t>
        </is>
      </c>
    </row>
    <row r="6">
      <c r="A6" s="17" t="inlineStr">
        <is>
          <t>Trees (C)</t>
        </is>
      </c>
      <c r="B6" s="18" t="inlineStr">
        <is>
          <t>Only SM prices tree, bush and stump removal: $15,240. Bucket says "by others"; RSBM silent.</t>
        </is>
      </c>
    </row>
    <row r="7">
      <c r="A7" s="17" t="inlineStr">
        <is>
          <t>RSBM only</t>
        </is>
      </c>
      <c r="B7" s="18" t="inlineStr">
        <is>
          <t>Finish grading ($3,600); utility disconnection at demo.</t>
        </is>
      </c>
    </row>
    <row r="8">
      <c r="A8" s="17" t="inlineStr">
        <is>
          <t>Bucket only</t>
        </is>
      </c>
      <c r="B8" s="18" t="inlineStr">
        <is>
          <t>Electric trench with conduit; line striping.</t>
        </is>
      </c>
    </row>
    <row r="9">
      <c r="A9" s="17" t="inlineStr">
        <is>
          <t>SM only</t>
        </is>
      </c>
      <c r="B9" s="18" t="inlineStr">
        <is>
          <t>Tree/stump removal; inlet protection; optional footing drain ($8,720 if needed); optional FES.</t>
        </is>
      </c>
    </row>
    <row r="10">
      <c r="A10" s="17" t="inlineStr">
        <is>
          <t>Watch (SM)</t>
        </is>
      </c>
      <c r="B10" s="18" t="inlineStr">
        <is>
          <t>Drywell priced 1,000 gal, not 1,300 on plan (+$1,500). No rigid insulation. Utility trench excludes conduit. Asphalt and fuel can change the price. 50% deposit.</t>
        </is>
      </c>
    </row>
    <row r="11">
      <c r="A11" s="17" t="inlineStr">
        <is>
          <t>Watch (RSBM)</t>
        </is>
      </c>
      <c r="B11" s="18" t="inlineStr">
        <is>
          <t>Lowest, but excludes topsoil, fill export, road restoration detail, electric, paving. Unsigned; no valid-until date.</t>
        </is>
      </c>
    </row>
    <row r="12">
      <c r="A12" s="17" t="inlineStr">
        <is>
          <t>Sewer / water</t>
        </is>
      </c>
      <c r="B12" s="18" t="inlineStr">
        <is>
          <t>Roadwork is the swing: sewer RSBM $7,700 vs Bucket $13,175 vs SM $14,417; water about $21K RSBM and Bucket vs $26.7K SM.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2026-11-01T17:44:30Z</dcterms:created>
  <dcterms:modified xmlns:dcterms="http://purl.org/dc/terms/" xmlns:xsi="http://www.w3.org/2001/XMLSchema-instance" xsi:type="dcterms:W3CDTF">2026-11-01T17:44:30Z</dcterms:modified>
</cp:coreProperties>
</file>